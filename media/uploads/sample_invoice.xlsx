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pc\Documents\FBR_Invoice_Automation\"/>
    </mc:Choice>
  </mc:AlternateContent>
  <xr:revisionPtr revIDLastSave="0" documentId="13_ncr:1_{EC609ED2-18B4-4420-9390-E5A3F62763B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Print_Area" localSheetId="0">Sheet1!$A$1:$G$45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" l="1"/>
  <c r="E20" i="1" l="1"/>
  <c r="F20" i="1" s="1"/>
  <c r="G20" i="1" s="1"/>
  <c r="E21" i="1"/>
  <c r="F21" i="1" s="1"/>
  <c r="G21" i="1" s="1"/>
  <c r="E22" i="1"/>
  <c r="F22" i="1" s="1"/>
  <c r="G22" i="1" s="1"/>
  <c r="E23" i="1"/>
  <c r="F23" i="1" s="1"/>
  <c r="G23" i="1" s="1"/>
  <c r="E19" i="1"/>
  <c r="F19" i="1" s="1"/>
  <c r="G19" i="1" s="1"/>
  <c r="E18" i="1"/>
  <c r="E17" i="1"/>
  <c r="F17" i="1" s="1"/>
  <c r="G17" i="1" l="1"/>
  <c r="F18" i="1"/>
  <c r="G18" i="1" s="1"/>
  <c r="E32" i="1"/>
  <c r="F35" i="1" l="1"/>
  <c r="F32" i="1"/>
  <c r="G32" i="1" l="1"/>
  <c r="F37" i="1" s="1"/>
  <c r="F36" i="1"/>
</calcChain>
</file>

<file path=xl/sharedStrings.xml><?xml version="1.0" encoding="utf-8"?>
<sst xmlns="http://schemas.openxmlformats.org/spreadsheetml/2006/main" count="34" uniqueCount="31">
  <si>
    <t xml:space="preserve">28 KABEER STREET URDU BAZAR LAHORE </t>
  </si>
  <si>
    <t>SALES TAX INVOICE</t>
  </si>
  <si>
    <t xml:space="preserve">DATE </t>
  </si>
  <si>
    <t>BUYER ADDRESS</t>
  </si>
  <si>
    <t>DETALIS</t>
  </si>
  <si>
    <t xml:space="preserve">Sr No </t>
  </si>
  <si>
    <t>Product Details</t>
  </si>
  <si>
    <t>Quantity</t>
  </si>
  <si>
    <t>Rate</t>
  </si>
  <si>
    <t>Value Exclusive of Sale Tax</t>
  </si>
  <si>
    <t>Sales Tax 18%</t>
  </si>
  <si>
    <t xml:space="preserve">Value Inclusive of Sale Tax </t>
  </si>
  <si>
    <t>AMOUNT IN WORDS :</t>
  </si>
  <si>
    <t>AL MADINA TRADERS</t>
  </si>
  <si>
    <t>TOTAL</t>
  </si>
  <si>
    <t>NTN:</t>
  </si>
  <si>
    <t>STRN:</t>
  </si>
  <si>
    <t>3405353-7</t>
  </si>
  <si>
    <t>FBR INVOICE:</t>
  </si>
  <si>
    <t>BUYER NAME : TAIGA APPAREL</t>
  </si>
  <si>
    <t>BUYER NTN/CNIC: 3687342-0</t>
  </si>
  <si>
    <t>DC NO</t>
  </si>
  <si>
    <t>PO NO.</t>
  </si>
  <si>
    <t xml:space="preserve">RUBBER BHADUR </t>
  </si>
  <si>
    <t>LAMINATION POREN FILM</t>
  </si>
  <si>
    <t xml:space="preserve">BALL PEN BLUE </t>
  </si>
  <si>
    <t>HIGHLITER NARKER MIX</t>
  </si>
  <si>
    <t>CRALIN WHITE</t>
  </si>
  <si>
    <t>WRITING PAD SMALL</t>
  </si>
  <si>
    <t>STICKY NOTE</t>
  </si>
  <si>
    <t>3520225697855DIZPFWNW920084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</si>
</sst>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/mmm/yy;@"/>
  </numFmts>
  <fonts count="10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b/>
      <sz val="10"/>
      <color theme="1"/>
      <name val="Arial"/>
      <charset val="134"/>
    </font>
    <font>
      <b/>
      <sz val="12"/>
      <color theme="1"/>
      <name val="Arial"/>
      <charset val="134"/>
    </font>
    <font>
      <b/>
      <i/>
      <sz val="10"/>
      <color theme="1"/>
      <name val="Arial"/>
      <charset val="134"/>
    </font>
    <font>
      <b/>
      <sz val="8"/>
      <color theme="1"/>
      <name val="Arial"/>
      <charset val="134"/>
    </font>
    <font>
      <b/>
      <u/>
      <sz val="10"/>
      <color theme="1"/>
      <name val="Arial"/>
      <charset val="134"/>
    </font>
    <font>
      <b/>
      <u/>
      <sz val="2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5" xfId="0" applyFont="1" applyBorder="1" applyAlignment="1">
      <alignment horizontal="center" vertical="center"/>
    </xf>
    <xf numFmtId="0" fontId="0" fillId="0" borderId="5" xfId="0" applyBorder="1">
      <alignment vertical="center"/>
    </xf>
    <xf numFmtId="0" fontId="8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123825</xdr:colOff>
      <xdr:row>37</xdr:row>
      <xdr:rowOff>123825</xdr:rowOff>
    </xdr:from>
    <xdr:to>
      <xdr:col>6</xdr:col>
      <xdr:colOff>523875</xdr:colOff>
      <xdr:row>40</xdr:row>
      <xdr:rowOff>38823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00" y="7553325"/>
          <a:ext cx="1076325" cy="486498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571500</xdr:colOff>
      <xdr:row>38</xdr:row>
      <xdr:rowOff>95250</xdr:rowOff>
    </xdr:from>
    <xdr:to>
      <xdr:col>5</xdr:col>
      <xdr:colOff>85724</xdr:colOff>
      <xdr:row>40</xdr:row>
      <xdr:rowOff>63532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8525" y="7715250"/>
          <a:ext cx="904874" cy="349282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231775</xdr:colOff>
      <xdr:row>5</xdr:row>
      <xdr:rowOff>3175</xdr:rowOff>
    </xdr:to>
    <xdr:pic>
      <xdr:nvPicPr>
        <xdr:cNvPr id="4" name="img3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257675" y="190500"/>
          <a:ext cx="908050" cy="908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40"/>
  <sheetViews>
    <sheetView tabSelected="1" view="pageBreakPreview" topLeftCell="A6" zoomScaleNormal="100" workbookViewId="0">
      <selection activeCell="F10" sqref="F10:G10"/>
    </sheetView>
  </sheetViews>
  <sheetFormatPr defaultColWidth="8.7109375" defaultRowHeight="15"/>
  <cols>
    <col min="1" max="1" width="6.5703125" customWidth="1"/>
    <col min="2" max="2" width="27.85546875" customWidth="1"/>
    <col min="3" max="3" width="8.5703125" bestFit="1" customWidth="1"/>
    <col min="4" max="4" width="9.5703125" customWidth="1"/>
    <col min="5" max="5" width="11.28515625" customWidth="1"/>
    <col min="6" max="6" width="10.140625" customWidth="1"/>
    <col min="7" max="7" width="14.28515625" customWidth="1"/>
  </cols>
  <sheetData>
    <row r="2" spans="1:7" ht="26.25">
      <c r="A2" s="5" t="s">
        <v>13</v>
      </c>
    </row>
    <row r="3" spans="1:7" ht="15" customHeight="1">
      <c r="A3" s="13" t="s">
        <v>0</v>
      </c>
      <c r="B3" s="13"/>
      <c r="C3" s="13"/>
      <c r="D3" s="13"/>
    </row>
    <row r="4" spans="1:7">
      <c r="A4" t="s">
        <v>15</v>
      </c>
      <c r="B4" t="s">
        <v>17</v>
      </c>
      <c r="D4" s="1"/>
      <c r="E4" s="34"/>
      <c r="F4" s="34"/>
    </row>
    <row r="5" spans="1:7">
      <c r="A5" t="s">
        <v>16</v>
      </c>
      <c r="D5" s="1"/>
      <c r="E5" s="2"/>
      <c r="F5" s="2"/>
    </row>
    <row r="6" spans="1:7">
      <c r="A6" t="s">
        <v>18</v>
      </c>
      <c r="D6" s="1"/>
      <c r="E6" s="14" t="s">
        <v>30</v>
      </c>
      <c r="F6" s="2"/>
    </row>
    <row r="7" spans="1:7">
      <c r="A7" s="36" t="s">
        <v>1</v>
      </c>
      <c r="B7" s="37"/>
      <c r="C7" s="37"/>
      <c r="D7" s="37"/>
      <c r="E7" s="37"/>
      <c r="F7" s="37"/>
      <c r="G7" s="38"/>
    </row>
    <row r="8" spans="1:7">
      <c r="A8" s="39"/>
      <c r="B8" s="40"/>
      <c r="C8" s="40"/>
      <c r="D8" s="40"/>
      <c r="E8" s="40"/>
      <c r="F8" s="40"/>
      <c r="G8" s="41"/>
    </row>
    <row r="9" spans="1:7">
      <c r="A9" s="32" t="s">
        <v>19</v>
      </c>
      <c r="B9" s="32"/>
      <c r="C9" s="33"/>
      <c r="D9" s="33"/>
      <c r="E9" s="8" t="s">
        <v>2</v>
      </c>
      <c r="F9" s="35">
        <v>46193</v>
      </c>
      <c r="G9" s="35"/>
    </row>
    <row r="10" spans="1:7">
      <c r="A10" s="32" t="s">
        <v>3</v>
      </c>
      <c r="B10" s="32"/>
      <c r="C10" s="33"/>
      <c r="D10" s="33"/>
      <c r="E10" s="8" t="s">
        <v>21</v>
      </c>
      <c r="F10" s="30">
        <v>3609</v>
      </c>
      <c r="G10" s="31"/>
    </row>
    <row r="11" spans="1:7">
      <c r="A11" s="32" t="s">
        <v>20</v>
      </c>
      <c r="B11" s="32"/>
      <c r="C11" s="33"/>
      <c r="D11" s="33"/>
      <c r="E11" s="8" t="s">
        <v>22</v>
      </c>
      <c r="F11" s="33">
        <v>2606030050</v>
      </c>
      <c r="G11" s="33"/>
    </row>
    <row r="12" spans="1:7">
      <c r="A12" s="15"/>
      <c r="B12" s="15"/>
      <c r="C12" s="15"/>
      <c r="D12" s="15"/>
      <c r="E12" s="15"/>
      <c r="F12" s="15"/>
      <c r="G12" s="15"/>
    </row>
    <row r="13" spans="1:7">
      <c r="A13" s="15"/>
      <c r="B13" s="15"/>
      <c r="C13" s="15"/>
      <c r="D13" s="15"/>
      <c r="E13" s="15"/>
      <c r="F13" s="15"/>
      <c r="G13" s="15"/>
    </row>
    <row r="14" spans="1:7" ht="17.100000000000001" customHeight="1">
      <c r="A14" s="25" t="s">
        <v>4</v>
      </c>
      <c r="B14" s="26"/>
      <c r="C14" s="26"/>
      <c r="D14" s="26"/>
      <c r="E14" s="26"/>
      <c r="F14" s="26"/>
      <c r="G14" s="27"/>
    </row>
    <row r="15" spans="1:7">
      <c r="A15" s="20" t="s">
        <v>5</v>
      </c>
      <c r="B15" s="16" t="s">
        <v>6</v>
      </c>
      <c r="C15" s="22" t="s">
        <v>7</v>
      </c>
      <c r="D15" s="20" t="s">
        <v>8</v>
      </c>
      <c r="E15" s="18" t="s">
        <v>9</v>
      </c>
      <c r="F15" s="23" t="s">
        <v>10</v>
      </c>
      <c r="G15" s="23" t="s">
        <v>11</v>
      </c>
    </row>
    <row r="16" spans="1:7" ht="29.1" customHeight="1">
      <c r="A16" s="21"/>
      <c r="B16" s="17"/>
      <c r="C16" s="22"/>
      <c r="D16" s="21"/>
      <c r="E16" s="19"/>
      <c r="F16" s="24"/>
      <c r="G16" s="24"/>
    </row>
    <row r="17" spans="1:7">
      <c r="A17" s="3">
        <v>1</v>
      </c>
      <c r="B17" s="7" t="s">
        <v>23</v>
      </c>
      <c r="C17" s="4">
        <v>30</v>
      </c>
      <c r="D17" s="4">
        <v>500</v>
      </c>
      <c r="E17" s="7">
        <f>+D17*C17</f>
        <v>15000</v>
      </c>
      <c r="F17" s="4">
        <f>0.18*E17</f>
        <v>2700</v>
      </c>
      <c r="G17" s="4">
        <f>+F17+E17</f>
        <v>17700</v>
      </c>
    </row>
    <row r="18" spans="1:7">
      <c r="A18" s="3">
        <v>2</v>
      </c>
      <c r="B18" s="7" t="s">
        <v>24</v>
      </c>
      <c r="C18" s="4">
        <v>300</v>
      </c>
      <c r="D18" s="4">
        <v>6.5</v>
      </c>
      <c r="E18" s="7">
        <f>+D18*C18</f>
        <v>1950</v>
      </c>
      <c r="F18" s="4">
        <f>0.18*E18</f>
        <v>351</v>
      </c>
      <c r="G18" s="4">
        <f>+F18+E18</f>
        <v>2301</v>
      </c>
    </row>
    <row r="19" spans="1:7">
      <c r="A19" s="9">
        <v>3</v>
      </c>
      <c r="B19" s="7" t="s">
        <v>25</v>
      </c>
      <c r="C19" s="4">
        <v>100</v>
      </c>
      <c r="D19" s="4">
        <v>16</v>
      </c>
      <c r="E19" s="7">
        <f>+D19*C19</f>
        <v>1600</v>
      </c>
      <c r="F19" s="4">
        <f>0.18*E19</f>
        <v>288</v>
      </c>
      <c r="G19" s="4">
        <f>+F19+E19</f>
        <v>1888</v>
      </c>
    </row>
    <row r="20" spans="1:7">
      <c r="A20" s="9">
        <v>4</v>
      </c>
      <c r="B20" s="7" t="s">
        <v>26</v>
      </c>
      <c r="C20" s="4">
        <v>20</v>
      </c>
      <c r="D20" s="4">
        <v>60</v>
      </c>
      <c r="E20" s="7">
        <f t="shared" ref="E20:E23" si="0">+D20*C20</f>
        <v>1200</v>
      </c>
      <c r="F20" s="4">
        <f t="shared" ref="F20:F32" si="1">0.18*E20</f>
        <v>216</v>
      </c>
      <c r="G20" s="4">
        <f t="shared" ref="G20:G32" si="2">+F20+E20</f>
        <v>1416</v>
      </c>
    </row>
    <row r="21" spans="1:7">
      <c r="A21" s="3">
        <v>5</v>
      </c>
      <c r="B21" s="7" t="s">
        <v>27</v>
      </c>
      <c r="C21" s="4">
        <v>24</v>
      </c>
      <c r="D21" s="4">
        <v>30</v>
      </c>
      <c r="E21" s="7">
        <f t="shared" si="0"/>
        <v>720</v>
      </c>
      <c r="F21" s="4">
        <f t="shared" si="1"/>
        <v>129.6</v>
      </c>
      <c r="G21" s="4">
        <f t="shared" si="2"/>
        <v>849.6</v>
      </c>
    </row>
    <row r="22" spans="1:7">
      <c r="A22" s="3">
        <v>6</v>
      </c>
      <c r="B22" s="7" t="s">
        <v>28</v>
      </c>
      <c r="C22" s="4">
        <v>12</v>
      </c>
      <c r="D22" s="4">
        <v>30</v>
      </c>
      <c r="E22" s="7">
        <f t="shared" si="0"/>
        <v>360</v>
      </c>
      <c r="F22" s="4">
        <f t="shared" si="1"/>
        <v>64.8</v>
      </c>
      <c r="G22" s="4">
        <f t="shared" si="2"/>
        <v>424.8</v>
      </c>
    </row>
    <row r="23" spans="1:7">
      <c r="A23" s="9">
        <v>7</v>
      </c>
      <c r="B23" s="7" t="s">
        <v>29</v>
      </c>
      <c r="C23" s="4">
        <v>20</v>
      </c>
      <c r="D23" s="4">
        <v>65</v>
      </c>
      <c r="E23" s="7">
        <f t="shared" si="0"/>
        <v>1300</v>
      </c>
      <c r="F23" s="4">
        <f t="shared" si="1"/>
        <v>234</v>
      </c>
      <c r="G23" s="4">
        <f t="shared" si="2"/>
        <v>1534</v>
      </c>
    </row>
    <row r="24" spans="1:7">
      <c r="A24" s="9">
        <v>8</v>
      </c>
      <c r="B24" s="7"/>
      <c r="C24" s="4"/>
      <c r="D24" s="4"/>
      <c r="E24" s="7"/>
      <c r="F24" s="4"/>
      <c r="G24" s="4"/>
    </row>
    <row r="25" spans="1:7">
      <c r="A25" s="3">
        <v>9</v>
      </c>
      <c r="B25" s="7"/>
      <c r="C25" s="4"/>
      <c r="D25" s="4"/>
      <c r="E25" s="7"/>
      <c r="F25" s="4"/>
      <c r="G25" s="4"/>
    </row>
    <row r="26" spans="1:7">
      <c r="A26" s="3">
        <v>10</v>
      </c>
      <c r="B26" s="7"/>
      <c r="C26" s="4"/>
      <c r="D26" s="4"/>
      <c r="E26" s="7"/>
      <c r="F26" s="4"/>
      <c r="G26" s="4"/>
    </row>
    <row r="27" spans="1:7">
      <c r="A27" s="9">
        <v>11</v>
      </c>
      <c r="B27" s="7"/>
      <c r="C27" s="4"/>
      <c r="D27" s="4"/>
      <c r="E27" s="7"/>
      <c r="F27" s="4"/>
      <c r="G27" s="4"/>
    </row>
    <row r="28" spans="1:7">
      <c r="A28" s="9">
        <v>12</v>
      </c>
      <c r="B28" s="7"/>
      <c r="C28" s="4"/>
      <c r="D28" s="4"/>
      <c r="E28" s="7"/>
      <c r="F28" s="4"/>
      <c r="G28" s="4"/>
    </row>
    <row r="29" spans="1:7">
      <c r="A29" s="3">
        <v>13</v>
      </c>
      <c r="B29" s="7"/>
      <c r="C29" s="4"/>
      <c r="D29" s="4"/>
      <c r="E29" s="7"/>
      <c r="F29" s="4"/>
      <c r="G29" s="4"/>
    </row>
    <row r="30" spans="1:7">
      <c r="A30" s="3">
        <v>14</v>
      </c>
      <c r="B30" s="7"/>
      <c r="C30" s="4"/>
      <c r="D30" s="4"/>
      <c r="E30" s="7"/>
      <c r="F30" s="4"/>
      <c r="G30" s="4"/>
    </row>
    <row r="31" spans="1:7">
      <c r="A31" s="9">
        <v>15</v>
      </c>
      <c r="B31" s="7"/>
      <c r="C31" s="4"/>
      <c r="D31" s="4"/>
      <c r="E31" s="7"/>
      <c r="F31" s="4"/>
      <c r="G31" s="4"/>
    </row>
    <row r="32" spans="1:7">
      <c r="A32" s="9"/>
      <c r="B32" s="7" t="s">
        <v>14</v>
      </c>
      <c r="C32" s="4">
        <f>SUM(C17:C31)</f>
        <v>506</v>
      </c>
      <c r="D32" s="4"/>
      <c r="E32" s="10">
        <f>SUM(E17:E31)</f>
        <v>22130</v>
      </c>
      <c r="F32" s="4">
        <f t="shared" si="1"/>
        <v>3983.3999999999996</v>
      </c>
      <c r="G32" s="4">
        <f t="shared" si="2"/>
        <v>26113.4</v>
      </c>
    </row>
    <row r="33" spans="2:7" ht="17.100000000000001" customHeight="1">
      <c r="B33" s="11" t="s">
        <v>12</v>
      </c>
      <c r="E33" s="12"/>
    </row>
    <row r="34" spans="2:7" ht="15.95" customHeight="1"/>
    <row r="35" spans="2:7" ht="17.100000000000001" customHeight="1">
      <c r="D35" s="28" t="s">
        <v>9</v>
      </c>
      <c r="E35" s="29"/>
      <c r="F35" s="30">
        <f>+E32</f>
        <v>22130</v>
      </c>
      <c r="G35" s="31"/>
    </row>
    <row r="36" spans="2:7">
      <c r="D36" s="28" t="s">
        <v>10</v>
      </c>
      <c r="E36" s="29"/>
      <c r="F36" s="30">
        <f>+F32</f>
        <v>3983.3999999999996</v>
      </c>
      <c r="G36" s="31"/>
    </row>
    <row r="37" spans="2:7">
      <c r="D37" s="28" t="s">
        <v>11</v>
      </c>
      <c r="E37" s="29"/>
      <c r="F37" s="30">
        <f>+G32</f>
        <v>26113.4</v>
      </c>
      <c r="G37" s="31"/>
    </row>
    <row r="40" spans="2:7">
      <c r="B40" s="6"/>
    </row>
  </sheetData>
  <mergeCells count="26">
    <mergeCell ref="E4:F4"/>
    <mergeCell ref="A9:B9"/>
    <mergeCell ref="C9:D9"/>
    <mergeCell ref="F9:G9"/>
    <mergeCell ref="A7:G8"/>
    <mergeCell ref="A10:B10"/>
    <mergeCell ref="C10:D10"/>
    <mergeCell ref="F10:G10"/>
    <mergeCell ref="A11:B11"/>
    <mergeCell ref="C11:D11"/>
    <mergeCell ref="F11:G11"/>
    <mergeCell ref="D35:E35"/>
    <mergeCell ref="F35:G35"/>
    <mergeCell ref="D36:E36"/>
    <mergeCell ref="F36:G36"/>
    <mergeCell ref="D37:E37"/>
    <mergeCell ref="F37:G37"/>
    <mergeCell ref="A12:G13"/>
    <mergeCell ref="B15:B16"/>
    <mergeCell ref="E15:E16"/>
    <mergeCell ref="A15:A16"/>
    <mergeCell ref="C15:C16"/>
    <mergeCell ref="D15:D16"/>
    <mergeCell ref="F15:F16"/>
    <mergeCell ref="A14:G14"/>
    <mergeCell ref="G15:G16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Mustansar Tanwir</cp:lastModifiedBy>
  <dcterms:created xsi:type="dcterms:W3CDTF">2026-01-21T11:14:00Z</dcterms:created>
  <dcterms:modified xsi:type="dcterms:W3CDTF">2026-07-06T06:23:20Z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AA5597F1A12645CB9C247264691264FF_11</vt:lpwstr>
  </property>
  <property fmtid="{D5CDD505-2E9C-101B-9397-08002B2CF9AE}" pid="3" name="KSOProductBuildVer">
    <vt:lpwstr>1033-12.2.0.23196</vt:lpwstr>
  </property>
</Properties>
</file>